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submissions\"/>
    </mc:Choice>
  </mc:AlternateContent>
  <xr:revisionPtr revIDLastSave="0" documentId="13_ncr:1_{2BBF040C-B2D5-479A-9511-660C7A9B5E59}" xr6:coauthVersionLast="47" xr6:coauthVersionMax="47" xr10:uidLastSave="{00000000-0000-0000-0000-000000000000}"/>
  <bookViews>
    <workbookView xWindow="-120" yWindow="-120" windowWidth="20730" windowHeight="11160" tabRatio="849" firstSheet="1" activeTab="6" xr2:uid="{00000000-000D-0000-FFFF-FFFF00000000}"/>
  </bookViews>
  <sheets>
    <sheet name="Instructions" sheetId="22" r:id="rId1"/>
    <sheet name="Dataset" sheetId="1" r:id="rId2"/>
    <sheet name="Task_2" sheetId="18" r:id="rId3"/>
    <sheet name="Task_1" sheetId="15" r:id="rId4"/>
    <sheet name="Task_3" sheetId="16" r:id="rId5"/>
    <sheet name="Task_4" sheetId="19" r:id="rId6"/>
    <sheet name="Task_5" sheetId="20" r:id="rId7"/>
    <sheet name="Merge1" sheetId="25" r:id="rId8"/>
    <sheet name="Table1 (2)" sheetId="23" r:id="rId9"/>
  </sheets>
  <functionGroups builtInGroupCount="19"/>
  <definedNames>
    <definedName name="_xlnm._FilterDatabase" localSheetId="1" hidden="1">Dataset!$A$1:$W$40</definedName>
    <definedName name="_xlpm.name1" hidden="1" xlm="1">#NAME?</definedName>
    <definedName name="_xlpm.name2" hidden="1" xlm="1">#NAME?</definedName>
    <definedName name="ExternalData_1" localSheetId="8" hidden="1">'Table1 (2)'!$A$1:$J$10</definedName>
    <definedName name="ExternalData_2" localSheetId="7" hidden="1">Merge1!$A$1:$J$10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E23" i="20" s="1"/>
  <c r="E24" i="20"/>
  <c r="E25" i="20"/>
  <c r="E26" i="20"/>
  <c r="E27" i="20"/>
  <c r="E28" i="20"/>
  <c r="E29" i="20"/>
  <c r="E30" i="20"/>
  <c r="E31" i="20"/>
  <c r="E32" i="20"/>
  <c r="E33" i="20"/>
  <c r="E34" i="20"/>
  <c r="E35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8" i="18"/>
  <c r="B9" i="18"/>
  <c r="B6" i="18"/>
  <c r="C22" i="19" a="1"/>
  <c r="C22" i="19" s="1"/>
  <c r="H4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A522B2-F9DE-48BF-8157-1409D33B9416}" keepAlive="1" name="Query - Merge1" description="Connection to the 'Merge1' query in the workbook." type="5" refreshedVersion="8" background="1" saveData="1">
    <dbPr connection="Provider=Microsoft.Mashup.OleDb.1;Data Source=$Workbook$;Location=Merge1;Extended Properties=&quot;&quot;" command="SELECT * FROM [Merge1]"/>
  </connection>
  <connection id="2" xr16:uid="{114AF0D6-1005-49C7-92E9-3ED094895536}" keepAlive="1" name="Query - Table1 (2)" description="Connection to the 'Table1 (2)' query in the workbook." type="5" refreshedVersion="8" background="1" saveData="1">
    <dbPr connection="Provider=Microsoft.Mashup.OleDb.1;Data Source=$Workbook$;Location=&quot;Table1 (2)&quot;;Extended Properties=&quot;&quot;" command="SELECT * FROM [Table1 (2)]"/>
  </connection>
  <connection id="3" xr16:uid="{784EF043-44BC-47C5-A3F1-8FC045FDF6A1}" keepAlive="1" name="Query - Table3" description="Connection to the 'Table3' query in the workbook." type="5" refreshedVersion="0" background="1">
    <dbPr connection="Provider=Microsoft.Mashup.OleDb.1;Data Source=$Workbook$;Location=Table3;Extended Properties=&quot;&quot;" command="SELECT * FROM [Table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<sst xmlns="http://schemas.openxmlformats.org/spreadsheetml/2006/main" count="448" uniqueCount="187">
  <si>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</si>
  <si>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</si>
  <si>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</si>
  <si>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</si>
  <si>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</si>
  <si>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</si>
  <si>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</si>
  <si>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</si>
  <si>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</si>
  <si>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</si>
  <si>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</si>
  <si>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</si>
  <si>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</si>
  <si>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</si>
  <si>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</si>
  <si>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</si>
  <si>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</si>
  <si>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</si>
  <si>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</si>
  <si>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</si>
  <si>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</si>
  <si>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</si>
  <si>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</si>
  <si>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</si>
  <si>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</si>
  <si>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</si>
  <si>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</si>
  <si>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</si>
  <si>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</si>
  <si>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</si>
  <si>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</si>
  <si>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</si>
  <si>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</si>
  <si>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</si>
  <si>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</si>
  <si>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</si>
  <si>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</si>
  <si>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</si>
  <si>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</si>
  <si>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</si>
  <si>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</si>
  <si>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</si>
  <si>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</si>
  <si>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</si>
  <si>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</si>
  <si>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</si>
  <si>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</si>
  <si>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</si>
  <si>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</si>
  <si>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</si>
  <si>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</si>
  <si>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</si>
  <si>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</si>
  <si>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</si>
  <si>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</si>
  <si>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</si>
  <si>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</si>
  <si>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</si>
  <si>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</si>
  <si>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</si>
  <si>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</si>
  <si>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</si>
  <si>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</si>
  <si>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</si>
  <si>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</si>
  <si>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</si>
  <si>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</si>
  <si>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</si>
  <si>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</si>
  <si>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</si>
  <si>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</si>
  <si>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</si>
  <si>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</si>
  <si>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</si>
  <si>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</si>
  <si>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</si>
  <si>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</si>
  <si>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</si>
  <si>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</si>
  <si>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</si>
  <si>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</si>
  <si>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</si>
  <si>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</si>
  <si>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</si>
  <si>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</si>
  <si>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</si>
  <si>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</si>
  <si>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</si>
  <si>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</si>
  <si>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</si>
  <si>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</si>
  <si>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</si>
  <si>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</si>
  <si>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</si>
  <si>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</si>
  <si>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</si>
  <si>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</si>
  <si>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</si>
  <si>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</si>
  <si>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</si>
  <si>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</si>
  <si>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</si>
  <si>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</si>
  <si>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</si>
  <si>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</si>
  <si>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</si>
  <si>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</si>
  <si>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</si>
  <si>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</si>
  <si>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</si>
  <si>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</si>
  <si>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</si>
  <si>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</si>
  <si>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</si>
  <si>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</si>
  <si>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</si>
  <si>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</si>
  <si>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</si>
  <si>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</si>
  <si>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</si>
  <si>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</si>
  <si>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</si>
  <si>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</si>
  <si>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</si>
  <si>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</si>
  <si>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</si>
  <si>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</si>
  <si>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</si>
  <si>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</si>
  <si>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</si>
  <si>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</si>
  <si>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</si>
  <si>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</si>
  <si>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</si>
  <si>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</si>
  <si>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</si>
  <si>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</si>
  <si>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</si>
  <si>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</si>
  <si>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</si>
  <si>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</si>
  <si>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</si>
  <si>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</si>
  <si>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</si>
  <si>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</si>
  <si>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</si>
  <si>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</si>
  <si>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</si>
  <si>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</si>
  <si>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</si>
  <si>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</si>
  <si>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</si>
  <si>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</si>
  <si>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</si>
  <si>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</si>
  <si>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</si>
  <si>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</si>
  <si>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</si>
  <si>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</si>
  <si>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</si>
  <si>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</si>
  <si>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</si>
  <si>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</si>
  <si>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</si>
  <si>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</si>
  <si>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</si>
  <si>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</si>
  <si>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</si>
  <si>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</si>
  <si>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</si>
  <si>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</si>
  <si>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</si>
  <si>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</si>
  <si>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</si>
  <si>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</si>
  <si>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</si>
  <si>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</si>
  <si>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FORMULA=SUMIF(H2:H40, "&gt;20")</t>
  </si>
  <si>
    <t>1. Select column A.
2. Go to the "Data" tab.
3. Click "Text to Columns" in "Data Tools."
4. Choose "Delimited" &gt; "Next."
5. Select hyphen as delimiter &gt; "Next."
6. Specify destination (B16:F54) &gt; "Finish."</t>
  </si>
  <si>
    <t>Delimiter</t>
  </si>
  <si>
    <t>FORMULA=SUM(IFERROR(C12:C21, 20))</t>
  </si>
  <si>
    <t>The formula calculates the sum of sales in cells C12 to C21, replacing any errors (such as #N/A) with the value 20 using the IFERROR function.</t>
  </si>
  <si>
    <t>Column1</t>
  </si>
  <si>
    <t>Column2</t>
  </si>
  <si>
    <t>I have used 2 formulas: =VLOOKUP([@[name_1]],Table3,2) AND =IFERROR(INDEX($A$9:$J$18, MATCH(C23, $A$9:$A$18, 0), MATCH(D23, $A$9:$J$9, 0)), "")</t>
  </si>
  <si>
    <t>1. The `VLOOKUP([@[name_1]], Table3, 2)` formula looks up the value in the second column of "Table3" using the value in the "name_1" column.
2. The `IFERROR(INDEX($A$9:$J$18, MATCH(C23, $A$9:$A$18, 0), MATCH(D23, $A$9:$J$9, 0)), "")` formula retrieves a value from Table 1 based on matches in Columns C and D of Table 2. It handles errors by displaying an empty string.</t>
  </si>
  <si>
    <t>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</si>
</sst>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Times New Roman"/>
      <charset val="204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5" fontId="7" fillId="0" borderId="0" xfId="0" applyNumberFormat="1" applyFont="1"/>
    <xf numFmtId="165" fontId="3" fillId="0" borderId="0" xfId="0" applyNumberFormat="1" applyFont="1"/>
    <xf numFmtId="0" fontId="15" fillId="0" borderId="0" xfId="0" applyFont="1" applyAlignment="1">
      <alignment wrapText="1"/>
    </xf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7" fillId="0" borderId="6" xfId="0" applyFont="1" applyBorder="1"/>
    <xf numFmtId="0" fontId="7" fillId="0" borderId="4" xfId="0" applyFont="1" applyBorder="1"/>
    <xf numFmtId="0" fontId="8" fillId="0" borderId="3" xfId="0" applyFont="1" applyBorder="1"/>
    <xf numFmtId="0" fontId="8" fillId="0" borderId="5" xfId="0" applyFont="1" applyBorder="1"/>
    <xf numFmtId="0" fontId="8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5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4"/>
      <tableStyleElement type="headerRow" dxfId="3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5D35BE7-DFF8-4D6E-BCD6-7DCD6DE14C57}" autoFormatId="16" applyNumberFormats="0" applyBorderFormats="0" applyFontFormats="0" applyPatternFormats="0" applyAlignmentFormats="0" applyWidthHeightFormats="0">
  <queryTableRefresh nextId="11">
    <queryTableFields count="10">
      <queryTableField id="1" name="Name" tableColumnId="1"/>
      <queryTableField id="2" name="A" tableColumnId="2"/>
      <queryTableField id="3" name="B" tableColumnId="3"/>
      <queryTableField id="4" name="C" tableColumnId="4"/>
      <queryTableField id="5" name="D" tableColumnId="5"/>
      <queryTableField id="6" name="E" tableColumnId="6"/>
      <queryTableField id="7" name="F" tableColumnId="7"/>
      <queryTableField id="8" name="G" tableColumnId="8"/>
      <queryTableField id="9" name="H" tableColumnId="9"/>
      <queryTableField id="10" name="I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BE88B14-C883-4803-AE0C-C1C0C8009254}" autoFormatId="16" applyNumberFormats="0" applyBorderFormats="0" applyFontFormats="0" applyPatternFormats="0" applyAlignmentFormats="0" applyWidthHeightFormats="0">
  <queryTableRefresh nextId="11">
    <queryTableFields count="10">
      <queryTableField id="1" name="Name" tableColumnId="1"/>
      <queryTableField id="2" name="A" tableColumnId="2"/>
      <queryTableField id="3" name="B" tableColumnId="3"/>
      <queryTableField id="4" name="C" tableColumnId="4"/>
      <queryTableField id="5" name="D" tableColumnId="5"/>
      <queryTableField id="6" name="E" tableColumnId="6"/>
      <queryTableField id="7" name="F" tableColumnId="7"/>
      <queryTableField id="8" name="G" tableColumnId="8"/>
      <queryTableField id="9" name="H" tableColumnId="9"/>
      <queryTableField id="10" name="I" tableColumnId="10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71BB1A-D78D-451E-B1E7-0CEC475F1BA0}" name="Table1" displayName="Table1" ref="A9:J18" totalsRowShown="0" headerRowDxfId="32" dataDxfId="30" headerRowBorderDxfId="31" tableBorderDxfId="29" totalsRowBorderDxfId="28">
  <autoFilter ref="A9:J18" xr:uid="{3171BB1A-D78D-451E-B1E7-0CEC475F1BA0}"/>
  <tableColumns count="10">
    <tableColumn id="1" xr3:uid="{FB5DFBBF-B160-464F-B6FE-8BF022518A84}" name="Name" dataDxfId="27"/>
    <tableColumn id="2" xr3:uid="{51C57EBD-1179-424B-AAD0-B21D42E733F8}" name="A" dataDxfId="26"/>
    <tableColumn id="3" xr3:uid="{2E13739D-52E1-4FB0-8097-64515096053E}" name="B" dataDxfId="25"/>
    <tableColumn id="4" xr3:uid="{100D858C-8E46-4F4B-B1C3-0FFFEAA19266}" name="C" dataDxfId="24"/>
    <tableColumn id="5" xr3:uid="{137D75F4-41D5-4A1C-9B88-87159AB1F8E9}" name="D" dataDxfId="23"/>
    <tableColumn id="6" xr3:uid="{A615E480-057D-48DF-AD6A-A3401539CA21}" name="E" dataDxfId="22"/>
    <tableColumn id="7" xr3:uid="{1DD583A8-9560-446E-B480-3CA33997FF85}" name="F" dataDxfId="21"/>
    <tableColumn id="8" xr3:uid="{2203E3B3-AE45-473E-88AB-8645E44AB473}" name="G" dataDxfId="20"/>
    <tableColumn id="9" xr3:uid="{A7D949AE-A200-4488-951E-16A3D06FADB8}" name="H" dataDxfId="19"/>
    <tableColumn id="10" xr3:uid="{54DC36BD-8496-48F6-A6FA-FCDADACE3A1A}" name="I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DB0731-C0E0-443F-9044-BD2D91C00C2C}" name="Table3" displayName="Table3" ref="M9:N18" totalsRowShown="0" headerRowDxfId="17" headerRowBorderDxfId="16" tableBorderDxfId="15">
  <autoFilter ref="M9:N18" xr:uid="{F3DB0731-C0E0-443F-9044-BD2D91C00C2C}"/>
  <tableColumns count="2">
    <tableColumn id="1" xr3:uid="{6C52EAEA-FFB8-4841-AECC-388324250C32}" name="ID" dataDxfId="14"/>
    <tableColumn id="2" xr3:uid="{4D654880-53BC-41E3-BF15-EC21C401F10C}" name="Name" data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F2B70BD-6DF2-4FBD-B881-1D497276F0F3}" name="Table6" displayName="Table6" ref="A22:E35" totalsRowShown="0" headerRowBorderDxfId="12" tableBorderDxfId="11">
  <autoFilter ref="A22:E35" xr:uid="{CF2B70BD-6DF2-4FBD-B881-1D497276F0F3}"/>
  <tableColumns count="5">
    <tableColumn id="1" xr3:uid="{5A291CFD-DDA6-4C3A-86B9-2F64FF45CD10}" name="name_1" dataDxfId="10"/>
    <tableColumn id="2" xr3:uid="{89716A7F-34FD-46E3-839A-BD5D6CD105B8}" name="name_2" dataDxfId="9"/>
    <tableColumn id="4" xr3:uid="{4937A2ED-F49D-4715-B26A-FA3AF0124CC9}" name="Column1" dataDxfId="6">
      <calculatedColumnFormula>VLOOKUP(Table6[[#This Row],[name_1]],Table3[],2)</calculatedColumnFormula>
    </tableColumn>
    <tableColumn id="5" xr3:uid="{008BC9DD-DC36-4621-8CAF-900CC7A56767}" name="Column2" dataDxfId="4">
      <calculatedColumnFormula>VLOOKUP(Table6[[#This Row],[name_2]],Table3[],2)</calculatedColumnFormula>
    </tableColumn>
    <tableColumn id="6" xr3:uid="{5F1C7938-C971-4238-933D-38EC57B0FA28}" name="Values" dataDxfId="5">
      <calculatedColumnFormula>IFERROR(INDEX($A$9:$J$18, MATCH(C23, $A$9:$A$18, 0), MATCH(D23, $A$9:$J$9, 0)), 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4F44E9-A537-4ADF-90AB-EC0E2C1422D2}" name="Merge1" displayName="Merge1" ref="A1:J10" tableType="queryTable" totalsRowShown="0">
  <autoFilter ref="A1:J10" xr:uid="{C34F44E9-A537-4ADF-90AB-EC0E2C1422D2}"/>
  <tableColumns count="10">
    <tableColumn id="1" xr3:uid="{D6502123-B314-410A-90D5-6572EF03AAE2}" uniqueName="1" name="Name" queryTableFieldId="1" dataDxfId="8"/>
    <tableColumn id="2" xr3:uid="{036B7DBE-A165-492C-ACD8-44E1E50D5593}" uniqueName="2" name="A" queryTableFieldId="2"/>
    <tableColumn id="3" xr3:uid="{AF8F12F5-BC9A-4C1F-9552-FD8F935B9F81}" uniqueName="3" name="B" queryTableFieldId="3"/>
    <tableColumn id="4" xr3:uid="{0ED60EA4-C9D9-4DAE-AD29-43651CD1C239}" uniqueName="4" name="C" queryTableFieldId="4"/>
    <tableColumn id="5" xr3:uid="{960C362F-99C2-43F7-906A-BACC41C86E65}" uniqueName="5" name="D" queryTableFieldId="5"/>
    <tableColumn id="6" xr3:uid="{4A5F606B-0465-4605-96EA-47E3FD7049E6}" uniqueName="6" name="E" queryTableFieldId="6"/>
    <tableColumn id="7" xr3:uid="{B5C3E320-B362-4156-BEFE-B56390DF4D83}" uniqueName="7" name="F" queryTableFieldId="7"/>
    <tableColumn id="8" xr3:uid="{02A5F1E2-8266-4F2A-A5DE-735A8EC5A2F0}" uniqueName="8" name="G" queryTableFieldId="8"/>
    <tableColumn id="9" xr3:uid="{962E0274-73BC-4ED0-847C-DD3F465E9917}" uniqueName="9" name="H" queryTableFieldId="9"/>
    <tableColumn id="10" xr3:uid="{6058BB54-BDDE-4BB0-99E8-7ED72F708A79}" uniqueName="10" name="I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04DF00-6E5A-474A-974C-B99D03E843C2}" name="Table1__2" displayName="Table1__2" ref="A1:J10" tableType="queryTable" totalsRowShown="0">
  <autoFilter ref="A1:J10" xr:uid="{CA04DF00-6E5A-474A-974C-B99D03E843C2}"/>
  <tableColumns count="10">
    <tableColumn id="1" xr3:uid="{2CC64C73-F842-4350-89AA-D9B0D9BF7DE2}" uniqueName="1" name="Name" queryTableFieldId="1" dataDxfId="7"/>
    <tableColumn id="2" xr3:uid="{B9DF2173-F5F7-4613-B283-22CD64974A8B}" uniqueName="2" name="A" queryTableFieldId="2"/>
    <tableColumn id="3" xr3:uid="{4E9B8D3A-4CC3-4AAC-B623-C69F379DF418}" uniqueName="3" name="B" queryTableFieldId="3"/>
    <tableColumn id="4" xr3:uid="{1C5009FA-5D57-4CCE-A1E5-ED70CB4B3AAF}" uniqueName="4" name="C" queryTableFieldId="4"/>
    <tableColumn id="5" xr3:uid="{97CC62FC-6480-4572-AA4D-34B7CCAC1B49}" uniqueName="5" name="D" queryTableFieldId="5"/>
    <tableColumn id="6" xr3:uid="{2125D8CD-691A-4A82-A20C-86F116E5B3B1}" uniqueName="6" name="E" queryTableFieldId="6"/>
    <tableColumn id="7" xr3:uid="{BDD087BF-12CF-4E23-9EDA-53B5A875C2EF}" uniqueName="7" name="F" queryTableFieldId="7"/>
    <tableColumn id="8" xr3:uid="{8238788F-1336-4664-9251-B959F306483A}" uniqueName="8" name="G" queryTableFieldId="8"/>
    <tableColumn id="9" xr3:uid="{DEA4430F-BE38-440A-8DB4-92D165FBCA84}" uniqueName="9" name="H" queryTableFieldId="9"/>
    <tableColumn id="10" xr3:uid="{CDB5144A-EBFD-492D-BB37-8D3C94458ECD}" uniqueName="10" name="I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D7" sqref="D7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5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="93" zoomScaleNormal="93" workbookViewId="0">
      <pane ySplit="1" topLeftCell="A11" activePane="bottomLeft" state="frozen"/>
      <selection pane="bottomLeft" activeCell="A27" sqref="A27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4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2" spans="1:24" x14ac:dyDescent="0.25">
      <c r="H42" s="1">
        <f>SUMIF(H2:H40, 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6" zoomScale="79" zoomScaleNormal="79" workbookViewId="0">
      <selection activeCell="H28" sqref="A1:XFD104857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2">
        <f>VLOOKUP(A6, Dataset!A2:G40, 7, FALSE)</f>
        <v>2.7</v>
      </c>
      <c r="C6" s="12">
        <f>VLOOKUP(A6, Dataset!A2:N40, 14, FALSE)</f>
        <v>7.6</v>
      </c>
      <c r="D6" s="12">
        <f>VLOOKUP(A6, Dataset!A2:R40, 18, FALSE)</f>
        <v>4.2</v>
      </c>
      <c r="E6" s="12">
        <f>VLOOKUP(A6, Dataset!A2:T40, 20, FALSE)</f>
        <v>8.9</v>
      </c>
      <c r="F6" s="8">
        <f>VLOOKUP(A6, Dataset!A2:V40, 22, FALSE)</f>
        <v>4.2</v>
      </c>
    </row>
    <row r="7" spans="1:7" ht="15" x14ac:dyDescent="0.25">
      <c r="A7" s="7" t="s">
        <v>4</v>
      </c>
      <c r="B7" s="12">
        <f>VLOOKUP(A7, Dataset!A3:G41, 7, FALSE)</f>
        <v>2.7</v>
      </c>
      <c r="C7" s="12">
        <f>VLOOKUP(A7, Dataset!A3:N41, 14, FALSE)</f>
        <v>7.6</v>
      </c>
      <c r="D7" s="12">
        <f>VLOOKUP(A7, Dataset!A3:R41, 18, FALSE)</f>
        <v>4.2</v>
      </c>
      <c r="E7" s="12">
        <f>VLOOKUP(A7, Dataset!A3:T41, 20, FALSE)</f>
        <v>8.9</v>
      </c>
      <c r="F7" s="8">
        <f>VLOOKUP(A7, Dataset!A3:V41, 22, FALSE)</f>
        <v>4.2</v>
      </c>
    </row>
    <row r="8" spans="1:7" ht="15" x14ac:dyDescent="0.25">
      <c r="A8" s="7" t="s">
        <v>7</v>
      </c>
      <c r="B8" s="12">
        <f>VLOOKUP(A8, Dataset!A4:G42, 7, FALSE)</f>
        <v>3.6</v>
      </c>
      <c r="C8" s="12">
        <f>VLOOKUP(A8, Dataset!A4:N42, 14, FALSE)</f>
        <v>11.1</v>
      </c>
      <c r="D8" s="12">
        <f>VLOOKUP(A8, Dataset!A4:R42, 18, FALSE)</f>
        <v>5.8</v>
      </c>
      <c r="E8" s="12">
        <f>VLOOKUP(A8, Dataset!A4:T42, 20, FALSE)</f>
        <v>12.2</v>
      </c>
      <c r="F8" s="8">
        <f>VLOOKUP(A8, Dataset!A4:V42, 22, FALSE)</f>
        <v>5.8</v>
      </c>
    </row>
    <row r="9" spans="1:7" ht="15" x14ac:dyDescent="0.25">
      <c r="A9" s="7" t="s">
        <v>8</v>
      </c>
      <c r="B9" s="12">
        <f>VLOOKUP(A9, Dataset!A5:G43, 7, FALSE)</f>
        <v>4.9000000000000004</v>
      </c>
      <c r="C9" s="12">
        <f>VLOOKUP(A9, Dataset!A5:N43, 14, FALSE)</f>
        <v>13.3</v>
      </c>
      <c r="D9" s="12">
        <f>VLOOKUP(A9, Dataset!A5:R43, 18, FALSE)</f>
        <v>8.1</v>
      </c>
      <c r="E9" s="12">
        <f>VLOOKUP(A9, Dataset!A5:T43, 20, FALSE)</f>
        <v>17</v>
      </c>
      <c r="F9" s="8">
        <f>VLOOKUP(A9, Dataset!A5:V43, 22, FALSE)</f>
        <v>8.1</v>
      </c>
    </row>
    <row r="10" spans="1:7" ht="15" x14ac:dyDescent="0.25">
      <c r="A10" s="7" t="s">
        <v>11</v>
      </c>
      <c r="B10" s="12">
        <f>VLOOKUP(A10, Dataset!A6:G44, 7, FALSE)</f>
        <v>9.4</v>
      </c>
      <c r="C10" s="12">
        <f>VLOOKUP(A10, Dataset!A6:N44, 14, FALSE)</f>
        <v>28.3</v>
      </c>
      <c r="D10" s="12">
        <f>VLOOKUP(A10, Dataset!A6:R44, 18, FALSE)</f>
        <v>16.100000000000001</v>
      </c>
      <c r="E10" s="12">
        <f>VLOOKUP(A10, Dataset!A6:T44, 20, FALSE)</f>
        <v>32.799999999999997</v>
      </c>
      <c r="F10" s="8">
        <f>VLOOKUP(A10, Dataset!A6:V44, 22, FALSE)</f>
        <v>16.100000000000001</v>
      </c>
    </row>
    <row r="11" spans="1:7" ht="15" x14ac:dyDescent="0.25">
      <c r="A11" s="7" t="s">
        <v>12</v>
      </c>
      <c r="B11" s="12">
        <f>VLOOKUP(A11, Dataset!A7:G45, 7, FALSE)</f>
        <v>11.6</v>
      </c>
      <c r="C11" s="12">
        <f>VLOOKUP(A11, Dataset!A7:N45, 14, FALSE)</f>
        <v>35.200000000000003</v>
      </c>
      <c r="D11" s="12">
        <f>VLOOKUP(A11, Dataset!A7:R45, 18, FALSE)</f>
        <v>21.3</v>
      </c>
      <c r="E11" s="12">
        <f>VLOOKUP(A11, Dataset!A7:T45, 20, FALSE)</f>
        <v>43</v>
      </c>
      <c r="F11" s="8">
        <f>VLOOKUP(A11, Dataset!A7:V45, 22, FALSE)</f>
        <v>21.3</v>
      </c>
    </row>
    <row r="12" spans="1:7" ht="15" x14ac:dyDescent="0.25">
      <c r="A12" s="7" t="s">
        <v>14</v>
      </c>
      <c r="B12" s="12">
        <f>VLOOKUP(A12, Dataset!A8:G46, 7, FALSE)</f>
        <v>18.399999999999999</v>
      </c>
      <c r="C12" s="12">
        <f>VLOOKUP(A12, Dataset!A8:N46, 14, FALSE)</f>
        <v>55.6</v>
      </c>
      <c r="D12" s="12">
        <f>VLOOKUP(A12, Dataset!A8:R46, 18, FALSE)</f>
        <v>33.799999999999997</v>
      </c>
      <c r="E12" s="12">
        <f>VLOOKUP(A12, Dataset!A8:T46, 20, FALSE)</f>
        <v>67.900000000000006</v>
      </c>
      <c r="F12" s="8">
        <f>VLOOKUP(A12, Dataset!A8:V46, 22, FALSE)</f>
        <v>33.799999999999997</v>
      </c>
    </row>
    <row r="13" spans="1:7" ht="15" x14ac:dyDescent="0.25">
      <c r="A13" s="7" t="s">
        <v>15</v>
      </c>
      <c r="B13" s="12">
        <f>VLOOKUP(A13, Dataset!A9:G47, 7, FALSE)</f>
        <v>0</v>
      </c>
      <c r="C13" s="12">
        <f>VLOOKUP(A13, Dataset!A9:N47, 14, FALSE)</f>
        <v>0</v>
      </c>
      <c r="D13" s="12">
        <f>VLOOKUP(A13, Dataset!A9:R47, 18, FALSE)</f>
        <v>0</v>
      </c>
      <c r="E13" s="12">
        <f>VLOOKUP(A13, Dataset!A9:T47, 20, FALSE)</f>
        <v>0</v>
      </c>
      <c r="F13" s="8">
        <f>VLOOKUP(A13, Dataset!A9:V47, 22, FALSE)</f>
        <v>0</v>
      </c>
    </row>
    <row r="14" spans="1:7" ht="15" x14ac:dyDescent="0.25">
      <c r="A14" s="7" t="s">
        <v>16</v>
      </c>
      <c r="B14" s="12">
        <f>VLOOKUP(A14, Dataset!A10:G48, 7, FALSE)</f>
        <v>21.9</v>
      </c>
      <c r="C14" s="12">
        <f>VLOOKUP(A14, Dataset!A10:N48, 14, FALSE)</f>
        <v>61.5</v>
      </c>
      <c r="D14" s="12">
        <f>VLOOKUP(A14, Dataset!A10:R48, 18, FALSE)</f>
        <v>40.1</v>
      </c>
      <c r="E14" s="12">
        <f>VLOOKUP(A14, Dataset!A10:T48, 20, FALSE)</f>
        <v>76.599999999999994</v>
      </c>
      <c r="F14" s="8">
        <f>VLOOKUP(A14, Dataset!A10:V48, 22, FALSE)</f>
        <v>40.1</v>
      </c>
    </row>
    <row r="15" spans="1:7" ht="15" x14ac:dyDescent="0.25">
      <c r="A15" s="7" t="s">
        <v>18</v>
      </c>
      <c r="B15" s="12">
        <f>VLOOKUP(A15, Dataset!A11:G49, 7, FALSE)</f>
        <v>26.8</v>
      </c>
      <c r="C15" s="12">
        <f>VLOOKUP(A15, Dataset!A11:N49, 14, FALSE)</f>
        <v>79.599999999999994</v>
      </c>
      <c r="D15" s="12">
        <f>VLOOKUP(A15, Dataset!A11:R49, 18, FALSE)</f>
        <v>47.9</v>
      </c>
      <c r="E15" s="12">
        <f>VLOOKUP(A15, Dataset!A11:T49, 20, FALSE)</f>
        <v>96.8</v>
      </c>
      <c r="F15" s="8">
        <f>VLOOKUP(A15, Dataset!A11:V49, 22, FALSE)</f>
        <v>47.9</v>
      </c>
    </row>
    <row r="16" spans="1:7" ht="15" x14ac:dyDescent="0.25">
      <c r="A16" s="7" t="s">
        <v>20</v>
      </c>
      <c r="B16" s="12">
        <f>VLOOKUP(A16, Dataset!A12:G50, 7, FALSE)</f>
        <v>28.5</v>
      </c>
      <c r="C16" s="12">
        <f>VLOOKUP(A16, Dataset!A12:N50, 14, FALSE)</f>
        <v>85.4</v>
      </c>
      <c r="D16" s="12">
        <f>VLOOKUP(A16, Dataset!A12:R50, 18, FALSE)</f>
        <v>52.3</v>
      </c>
      <c r="E16" s="12">
        <f>VLOOKUP(A16, Dataset!A12:T50, 20, FALSE)</f>
        <v>106.1</v>
      </c>
      <c r="F16" s="8">
        <f>VLOOKUP(A16, Dataset!A12:V50, 22, FALSE)</f>
        <v>52.3</v>
      </c>
    </row>
    <row r="17" spans="1:6" ht="15" x14ac:dyDescent="0.25">
      <c r="A17" s="7" t="s">
        <v>22</v>
      </c>
      <c r="B17" s="12">
        <f>VLOOKUP(A17, Dataset!A13:G51, 7, FALSE)</f>
        <v>30.7</v>
      </c>
      <c r="C17" s="12">
        <f>VLOOKUP(A17, Dataset!A13:N51, 14, FALSE)</f>
        <v>92.1</v>
      </c>
      <c r="D17" s="12">
        <f>VLOOKUP(A17, Dataset!A13:R51, 18, FALSE)</f>
        <v>57</v>
      </c>
      <c r="E17" s="12">
        <f>VLOOKUP(A17, Dataset!A13:T51, 20, FALSE)</f>
        <v>115.1</v>
      </c>
      <c r="F17" s="8">
        <f>VLOOKUP(A17, Dataset!A13:V51, 22, FALSE)</f>
        <v>57</v>
      </c>
    </row>
    <row r="18" spans="1:6" ht="15" x14ac:dyDescent="0.25">
      <c r="A18" s="7" t="s">
        <v>23</v>
      </c>
      <c r="B18" s="12">
        <f>VLOOKUP(A18, Dataset!A14:G52, 7, FALSE)</f>
        <v>33.799999999999997</v>
      </c>
      <c r="C18" s="12">
        <f>VLOOKUP(A18, Dataset!A14:N52, 14, FALSE)</f>
        <v>101.3</v>
      </c>
      <c r="D18" s="12">
        <f>VLOOKUP(A18, Dataset!A14:R52, 18, FALSE)</f>
        <v>61.4</v>
      </c>
      <c r="E18" s="12">
        <f>VLOOKUP(A18, Dataset!A14:T52, 20, FALSE)</f>
        <v>124.4</v>
      </c>
      <c r="F18" s="8">
        <f>VLOOKUP(A18, Dataset!A14:V52, 22, FALSE)</f>
        <v>61.4</v>
      </c>
    </row>
    <row r="19" spans="1:6" ht="15" x14ac:dyDescent="0.25">
      <c r="A19" s="7" t="s">
        <v>24</v>
      </c>
      <c r="B19" s="12">
        <f>VLOOKUP(A19, Dataset!A15:G53, 7, FALSE)</f>
        <v>34.700000000000003</v>
      </c>
      <c r="C19" s="12">
        <f>VLOOKUP(A19, Dataset!A15:N53, 14, FALSE)</f>
        <v>106.1</v>
      </c>
      <c r="D19" s="12">
        <f>VLOOKUP(A19, Dataset!A15:R53, 18, FALSE)</f>
        <v>63.6</v>
      </c>
      <c r="E19" s="12">
        <f>VLOOKUP(A19, Dataset!A15:T53, 20, FALSE)</f>
        <v>128.6</v>
      </c>
      <c r="F19" s="8">
        <f>VLOOKUP(A19, Dataset!A15:V53, 22, FALSE)</f>
        <v>63.6</v>
      </c>
    </row>
    <row r="20" spans="1:6" ht="15" x14ac:dyDescent="0.25">
      <c r="A20" s="7" t="s">
        <v>28</v>
      </c>
      <c r="B20" s="12">
        <f>VLOOKUP(A20, Dataset!A16:G54, 7, FALSE)</f>
        <v>0</v>
      </c>
      <c r="C20" s="12">
        <f>VLOOKUP(A20, Dataset!A16:N54, 14, FALSE)</f>
        <v>0</v>
      </c>
      <c r="D20" s="12">
        <f>VLOOKUP(A20, Dataset!A16:R54, 18, FALSE)</f>
        <v>0</v>
      </c>
      <c r="E20" s="12">
        <f>VLOOKUP(A20, Dataset!A16:T54, 20, FALSE)</f>
        <v>0</v>
      </c>
      <c r="F20" s="8">
        <f>VLOOKUP(A20, Dataset!A16:V54, 22, FALSE)</f>
        <v>0</v>
      </c>
    </row>
    <row r="21" spans="1:6" ht="15" x14ac:dyDescent="0.25">
      <c r="A21" s="7" t="s">
        <v>57</v>
      </c>
      <c r="B21" s="12">
        <f>VLOOKUP(A21, Dataset!A17:G55, 7, FALSE)</f>
        <v>41.3</v>
      </c>
      <c r="C21" s="12">
        <f>VLOOKUP(A21, Dataset!A17:N55, 14, FALSE)</f>
        <v>124.4</v>
      </c>
      <c r="D21" s="12">
        <f>VLOOKUP(A21, Dataset!A17:R55, 18, FALSE)</f>
        <v>75</v>
      </c>
      <c r="E21" s="12">
        <f>VLOOKUP(A21, Dataset!A17:T55, 20, FALSE)</f>
        <v>151.5</v>
      </c>
      <c r="F21" s="8">
        <f>VLOOKUP(A21, Dataset!A17:V55, 22, FALSE)</f>
        <v>75</v>
      </c>
    </row>
    <row r="22" spans="1:6" ht="15" x14ac:dyDescent="0.25">
      <c r="A22" s="7" t="s">
        <v>58</v>
      </c>
      <c r="B22" s="12">
        <f>VLOOKUP(A22, Dataset!A18:G56, 7, FALSE)</f>
        <v>-1</v>
      </c>
      <c r="C22" s="12">
        <f>VLOOKUP(A22, Dataset!A18:N56, 14, FALSE)</f>
        <v>-1</v>
      </c>
      <c r="D22" s="12">
        <f>VLOOKUP(A22, Dataset!A18:R56, 18, FALSE)</f>
        <v>-1</v>
      </c>
      <c r="E22" s="12">
        <f>VLOOKUP(A22, Dataset!A18:T56, 20, FALSE)</f>
        <v>-1</v>
      </c>
      <c r="F22" s="8">
        <f>VLOOKUP(A22, Dataset!A18:V56, 22, FALSE)</f>
        <v>-1</v>
      </c>
    </row>
    <row r="23" spans="1:6" ht="15" x14ac:dyDescent="0.25">
      <c r="A23" s="7" t="s">
        <v>31</v>
      </c>
      <c r="B23" s="12">
        <f>VLOOKUP(A23, Dataset!A19:G57, 7, FALSE)</f>
        <v>45</v>
      </c>
      <c r="C23" s="12">
        <f>VLOOKUP(A23, Dataset!A19:N57, 14, FALSE)</f>
        <v>133.4</v>
      </c>
      <c r="D23" s="12">
        <f>VLOOKUP(A23, Dataset!A19:R57, 18, FALSE)</f>
        <v>79.400000000000006</v>
      </c>
      <c r="E23" s="12">
        <f>VLOOKUP(A23, Dataset!A19:T57, 20, FALSE)</f>
        <v>160.9</v>
      </c>
      <c r="F23" s="8">
        <f>VLOOKUP(A23, Dataset!A19:V57, 22, FALSE)</f>
        <v>79.400000000000006</v>
      </c>
    </row>
    <row r="24" spans="1:6" ht="15" x14ac:dyDescent="0.25">
      <c r="A24" s="7" t="s">
        <v>32</v>
      </c>
      <c r="B24" s="12">
        <f>VLOOKUP(A24, Dataset!A20:G58, 7, FALSE)</f>
        <v>-1</v>
      </c>
      <c r="C24" s="12">
        <f>VLOOKUP(A24, Dataset!A20:N58, 14, FALSE)</f>
        <v>-1</v>
      </c>
      <c r="D24" s="12">
        <f>VLOOKUP(A24, Dataset!A20:R58, 18, FALSE)</f>
        <v>-1</v>
      </c>
      <c r="E24" s="12">
        <f>VLOOKUP(A24, Dataset!A20:T58, 20, FALSE)</f>
        <v>-1</v>
      </c>
      <c r="F24" s="8">
        <f>VLOOKUP(A24, Dataset!A20:V58, 22, FALSE)</f>
        <v>-1</v>
      </c>
    </row>
    <row r="25" spans="1:6" ht="15" x14ac:dyDescent="0.25">
      <c r="A25" s="7" t="s">
        <v>34</v>
      </c>
      <c r="B25" s="12">
        <f>VLOOKUP(A25, Dataset!A21:G59, 7, FALSE)</f>
        <v>43.3</v>
      </c>
      <c r="C25" s="12">
        <f>VLOOKUP(A25, Dataset!A21:N59, 14, FALSE)</f>
        <v>128.6</v>
      </c>
      <c r="D25" s="12">
        <f>VLOOKUP(A25, Dataset!A21:R59, 18, FALSE)</f>
        <v>79.400000000000006</v>
      </c>
      <c r="E25" s="12">
        <f>VLOOKUP(A25, Dataset!A21:T59, 20, FALSE)</f>
        <v>160.9</v>
      </c>
      <c r="F25" s="8">
        <f>VLOOKUP(A25, Dataset!A21:V59, 22, FALSE)</f>
        <v>79.400000000000006</v>
      </c>
    </row>
    <row r="26" spans="1:6" ht="15" x14ac:dyDescent="0.25">
      <c r="A26" s="7" t="s">
        <v>37</v>
      </c>
      <c r="B26" s="12">
        <f>VLOOKUP(A26, Dataset!A22:G60, 7, FALSE)</f>
        <v>49.1</v>
      </c>
      <c r="C26" s="12">
        <f>VLOOKUP(A26, Dataset!A22:N60, 14, FALSE)</f>
        <v>146.80000000000001</v>
      </c>
      <c r="D26" s="12">
        <f>VLOOKUP(A26, Dataset!A22:R60, 18, FALSE)</f>
        <v>90.9</v>
      </c>
      <c r="E26" s="12">
        <f>VLOOKUP(A26, Dataset!A22:T60, 20, FALSE)</f>
        <v>183.5</v>
      </c>
      <c r="F26" s="8">
        <f>VLOOKUP(A26, Dataset!A22:V60, 22, FALSE)</f>
        <v>90.9</v>
      </c>
    </row>
    <row r="27" spans="1:6" ht="15" x14ac:dyDescent="0.25">
      <c r="A27" s="7" t="s">
        <v>39</v>
      </c>
      <c r="B27" s="12">
        <f>VLOOKUP(A27, Dataset!A23:G61, 7, FALSE)</f>
        <v>51.8</v>
      </c>
      <c r="C27" s="12">
        <f>VLOOKUP(A27, Dataset!A23:N61, 14, FALSE)</f>
        <v>156.4</v>
      </c>
      <c r="D27" s="12">
        <f>VLOOKUP(A27, Dataset!A23:R61, 18, FALSE)</f>
        <v>93.1</v>
      </c>
      <c r="E27" s="12">
        <f>VLOOKUP(A27, Dataset!A23:T61, 20, FALSE)</f>
        <v>188.1</v>
      </c>
      <c r="F27" s="8">
        <f>VLOOKUP(A27, Dataset!A23:V61, 22, FALSE)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5" x14ac:dyDescent="0.25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2" width="65.83203125" style="1" customWidth="1"/>
    <col min="3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 t="s">
        <v>179</v>
      </c>
    </row>
    <row r="6" spans="1:10" ht="112.5" x14ac:dyDescent="0.3">
      <c r="A6" s="42" t="s">
        <v>153</v>
      </c>
      <c r="B6" s="45" t="s">
        <v>178</v>
      </c>
    </row>
    <row r="7" spans="1:10" ht="18.75" x14ac:dyDescent="0.3">
      <c r="A7" s="42"/>
      <c r="B7" s="39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D10" sqref="D10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167</v>
      </c>
    </row>
    <row r="2" spans="1:3" ht="18.75" x14ac:dyDescent="0.3">
      <c r="B2" s="39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180</v>
      </c>
    </row>
    <row r="7" spans="1:3" ht="15" x14ac:dyDescent="0.25">
      <c r="A7" s="3" t="s">
        <v>153</v>
      </c>
      <c r="B7" s="1" t="s">
        <v>181</v>
      </c>
    </row>
    <row r="10" spans="1:3" ht="23.25" x14ac:dyDescent="0.35">
      <c r="A10" s="17" t="s">
        <v>162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 t="e">
        <v>#N/A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24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96" zoomScaleNormal="96" workbookViewId="0">
      <selection activeCell="G8" sqref="G8"/>
    </sheetView>
  </sheetViews>
  <sheetFormatPr defaultColWidth="11" defaultRowHeight="12.75" x14ac:dyDescent="0.2"/>
  <cols>
    <col min="1" max="1" width="16.5" style="2" customWidth="1"/>
    <col min="2" max="2" width="11.83203125" style="2" customWidth="1"/>
    <col min="3" max="3" width="12.5" style="2" bestFit="1" customWidth="1"/>
    <col min="4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  <c r="D4" s="2" t="s">
        <v>184</v>
      </c>
    </row>
    <row r="5" spans="1:14" ht="64.5" customHeight="1" x14ac:dyDescent="0.3">
      <c r="A5" s="42" t="s">
        <v>153</v>
      </c>
      <c r="B5" s="1"/>
      <c r="C5" s="57" t="s">
        <v>185</v>
      </c>
      <c r="D5" s="57"/>
      <c r="E5" s="57"/>
      <c r="F5" s="57"/>
      <c r="G5" s="57"/>
      <c r="H5" s="57"/>
      <c r="I5" s="57"/>
      <c r="J5" s="57"/>
      <c r="K5" s="57"/>
    </row>
    <row r="6" spans="1:14" ht="15" x14ac:dyDescent="0.25">
      <c r="A6" s="3"/>
      <c r="B6" s="1"/>
      <c r="C6" s="57"/>
      <c r="D6" s="57"/>
      <c r="E6" s="57"/>
      <c r="F6" s="57"/>
      <c r="G6" s="57"/>
      <c r="H6" s="57"/>
      <c r="I6" s="57"/>
      <c r="J6" s="57"/>
      <c r="K6" s="57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47" t="s">
        <v>99</v>
      </c>
      <c r="B9" s="48" t="s">
        <v>89</v>
      </c>
      <c r="C9" s="48" t="s">
        <v>90</v>
      </c>
      <c r="D9" s="48" t="s">
        <v>91</v>
      </c>
      <c r="E9" s="48" t="s">
        <v>92</v>
      </c>
      <c r="F9" s="48" t="s">
        <v>93</v>
      </c>
      <c r="G9" s="48" t="s">
        <v>94</v>
      </c>
      <c r="H9" s="48" t="s">
        <v>95</v>
      </c>
      <c r="I9" s="48" t="s">
        <v>96</v>
      </c>
      <c r="J9" s="49" t="s">
        <v>97</v>
      </c>
      <c r="M9" s="53" t="s">
        <v>43</v>
      </c>
      <c r="N9" s="54" t="s">
        <v>99</v>
      </c>
    </row>
    <row r="10" spans="1:14" ht="15" x14ac:dyDescent="0.25">
      <c r="A10" s="46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37">
        <v>525</v>
      </c>
      <c r="M10" s="8">
        <v>10100</v>
      </c>
      <c r="N10" s="7" t="s">
        <v>89</v>
      </c>
    </row>
    <row r="11" spans="1:14" ht="15" x14ac:dyDescent="0.25">
      <c r="A11" s="46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37">
        <v>430</v>
      </c>
      <c r="M11" s="8">
        <v>10102</v>
      </c>
      <c r="N11" s="7" t="s">
        <v>90</v>
      </c>
    </row>
    <row r="12" spans="1:14" ht="15" x14ac:dyDescent="0.25">
      <c r="A12" s="46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37">
        <v>400</v>
      </c>
      <c r="M12" s="8">
        <v>10104</v>
      </c>
      <c r="N12" s="7" t="s">
        <v>91</v>
      </c>
    </row>
    <row r="13" spans="1:14" ht="15" x14ac:dyDescent="0.25">
      <c r="A13" s="46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37">
        <v>340</v>
      </c>
      <c r="M13" s="8">
        <v>10106</v>
      </c>
      <c r="N13" s="7" t="s">
        <v>92</v>
      </c>
    </row>
    <row r="14" spans="1:14" ht="15" x14ac:dyDescent="0.25">
      <c r="A14" s="46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37">
        <v>270</v>
      </c>
      <c r="M14" s="8">
        <v>10108</v>
      </c>
      <c r="N14" s="7" t="s">
        <v>93</v>
      </c>
    </row>
    <row r="15" spans="1:14" ht="15" x14ac:dyDescent="0.25">
      <c r="A15" s="46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37">
        <v>220</v>
      </c>
      <c r="M15" s="8">
        <v>10110</v>
      </c>
      <c r="N15" s="7" t="s">
        <v>94</v>
      </c>
    </row>
    <row r="16" spans="1:14" ht="15" x14ac:dyDescent="0.25">
      <c r="A16" s="46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37">
        <v>105</v>
      </c>
      <c r="M16" s="8">
        <v>10112</v>
      </c>
      <c r="N16" s="7" t="s">
        <v>95</v>
      </c>
    </row>
    <row r="17" spans="1:14" ht="15" x14ac:dyDescent="0.25">
      <c r="A17" s="46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37">
        <v>40</v>
      </c>
      <c r="M17" s="8">
        <v>10114</v>
      </c>
      <c r="N17" s="7" t="s">
        <v>96</v>
      </c>
    </row>
    <row r="18" spans="1:14" ht="15" x14ac:dyDescent="0.25">
      <c r="A18" s="50" t="s">
        <v>97</v>
      </c>
      <c r="B18" s="51">
        <v>525</v>
      </c>
      <c r="C18" s="51">
        <v>430</v>
      </c>
      <c r="D18" s="51">
        <v>400</v>
      </c>
      <c r="E18" s="51">
        <v>340</v>
      </c>
      <c r="F18" s="51">
        <v>270</v>
      </c>
      <c r="G18" s="51">
        <v>220</v>
      </c>
      <c r="H18" s="51">
        <v>105</v>
      </c>
      <c r="I18" s="51">
        <v>40</v>
      </c>
      <c r="J18" s="52">
        <v>-1</v>
      </c>
      <c r="M18" s="8">
        <v>10116</v>
      </c>
      <c r="N18" s="7" t="s">
        <v>97</v>
      </c>
    </row>
    <row r="21" spans="1:14" ht="23.25" x14ac:dyDescent="0.35">
      <c r="A21" s="17" t="s">
        <v>168</v>
      </c>
    </row>
    <row r="22" spans="1:14" ht="15" x14ac:dyDescent="0.25">
      <c r="A22" s="10" t="s">
        <v>100</v>
      </c>
      <c r="B22" s="13" t="s">
        <v>101</v>
      </c>
      <c r="C22" s="56" t="s">
        <v>182</v>
      </c>
      <c r="D22" s="56" t="s">
        <v>183</v>
      </c>
      <c r="E22" s="56" t="s">
        <v>186</v>
      </c>
    </row>
    <row r="23" spans="1:14" ht="15" x14ac:dyDescent="0.25">
      <c r="A23" s="1">
        <v>10100</v>
      </c>
      <c r="B23" s="12">
        <v>10102</v>
      </c>
      <c r="C23" s="55" t="str">
        <f>VLOOKUP(Table6[[#This Row],[name_1]],Table3[],2)</f>
        <v>A</v>
      </c>
      <c r="D23" s="55" t="str">
        <f>VLOOKUP(Table6[[#This Row],[name_2]],Table3[],2)</f>
        <v>B</v>
      </c>
      <c r="E23" s="2">
        <f>IFERROR(INDEX($A$9:$J$18, MATCH(C23, $A$9:$A$18, 0), MATCH(D23, $A$9:$J$9, 0)), "")</f>
        <v>95</v>
      </c>
    </row>
    <row r="24" spans="1:14" ht="15" x14ac:dyDescent="0.25">
      <c r="A24" s="1">
        <v>10100</v>
      </c>
      <c r="B24" s="12">
        <v>10104</v>
      </c>
      <c r="C24" s="55" t="str">
        <f>VLOOKUP(Table6[[#This Row],[name_1]],Table3[],2)</f>
        <v>A</v>
      </c>
      <c r="D24" s="55" t="str">
        <f>VLOOKUP(Table6[[#This Row],[name_2]],Table3[],2)</f>
        <v>C</v>
      </c>
      <c r="E24" s="2">
        <f t="shared" ref="E24:E35" si="0">IFERROR(INDEX($A$9:$J$18, MATCH(C24, $A$9:$A$18, 0), MATCH(D24, $A$9:$J$9, 0)), "")</f>
        <v>-1</v>
      </c>
    </row>
    <row r="25" spans="1:14" ht="15" x14ac:dyDescent="0.25">
      <c r="A25" s="1">
        <v>10108</v>
      </c>
      <c r="B25" s="12">
        <v>10102</v>
      </c>
      <c r="C25" s="55" t="str">
        <f>VLOOKUP(Table6[[#This Row],[name_1]],Table3[],2)</f>
        <v>E</v>
      </c>
      <c r="D25" s="55" t="str">
        <f>VLOOKUP(Table6[[#This Row],[name_2]],Table3[],2)</f>
        <v>B</v>
      </c>
      <c r="E25" s="2">
        <f t="shared" si="0"/>
        <v>160</v>
      </c>
    </row>
    <row r="26" spans="1:14" ht="15" x14ac:dyDescent="0.25">
      <c r="A26" s="1">
        <v>10100</v>
      </c>
      <c r="B26" s="12">
        <v>10106</v>
      </c>
      <c r="C26" s="55" t="str">
        <f>VLOOKUP(Table6[[#This Row],[name_1]],Table3[],2)</f>
        <v>A</v>
      </c>
      <c r="D26" s="55" t="str">
        <f>VLOOKUP(Table6[[#This Row],[name_2]],Table3[],2)</f>
        <v>D</v>
      </c>
      <c r="E26" s="2">
        <f t="shared" si="0"/>
        <v>185</v>
      </c>
    </row>
    <row r="27" spans="1:14" ht="15" x14ac:dyDescent="0.25">
      <c r="A27" s="1">
        <v>10108</v>
      </c>
      <c r="B27" s="12">
        <v>10110</v>
      </c>
      <c r="C27" s="55" t="str">
        <f>VLOOKUP(Table6[[#This Row],[name_1]],Table3[],2)</f>
        <v>E</v>
      </c>
      <c r="D27" s="55" t="str">
        <f>VLOOKUP(Table6[[#This Row],[name_2]],Table3[],2)</f>
        <v>F</v>
      </c>
      <c r="E27" s="2">
        <f t="shared" si="0"/>
        <v>50</v>
      </c>
    </row>
    <row r="28" spans="1:14" ht="15" x14ac:dyDescent="0.25">
      <c r="A28" s="1">
        <v>10102</v>
      </c>
      <c r="B28" s="12">
        <v>10104</v>
      </c>
      <c r="C28" s="55" t="str">
        <f>VLOOKUP(Table6[[#This Row],[name_1]],Table3[],2)</f>
        <v>B</v>
      </c>
      <c r="D28" s="55" t="str">
        <f>VLOOKUP(Table6[[#This Row],[name_2]],Table3[],2)</f>
        <v>C</v>
      </c>
      <c r="E28" s="2">
        <f t="shared" si="0"/>
        <v>-1</v>
      </c>
    </row>
    <row r="29" spans="1:14" ht="15" x14ac:dyDescent="0.25">
      <c r="A29" s="1">
        <v>10106</v>
      </c>
      <c r="B29" s="12">
        <v>10108</v>
      </c>
      <c r="C29" s="55" t="str">
        <f>VLOOKUP(Table6[[#This Row],[name_1]],Table3[],2)</f>
        <v>D</v>
      </c>
      <c r="D29" s="55" t="str">
        <f>VLOOKUP(Table6[[#This Row],[name_2]],Table3[],2)</f>
        <v>E</v>
      </c>
      <c r="E29" s="2">
        <f t="shared" si="0"/>
        <v>70</v>
      </c>
    </row>
    <row r="30" spans="1:14" ht="15" x14ac:dyDescent="0.25">
      <c r="A30" s="1">
        <v>10102</v>
      </c>
      <c r="B30" s="12">
        <v>10106</v>
      </c>
      <c r="C30" s="55" t="str">
        <f>VLOOKUP(Table6[[#This Row],[name_1]],Table3[],2)</f>
        <v>B</v>
      </c>
      <c r="D30" s="55" t="str">
        <f>VLOOKUP(Table6[[#This Row],[name_2]],Table3[],2)</f>
        <v>D</v>
      </c>
      <c r="E30" s="2">
        <f t="shared" si="0"/>
        <v>90</v>
      </c>
    </row>
    <row r="31" spans="1:14" ht="15" x14ac:dyDescent="0.25">
      <c r="A31" s="1">
        <v>10110</v>
      </c>
      <c r="B31" s="12">
        <v>10114</v>
      </c>
      <c r="C31" s="55" t="str">
        <f>VLOOKUP(Table6[[#This Row],[name_1]],Table3[],2)</f>
        <v>F</v>
      </c>
      <c r="D31" s="55" t="str">
        <f>VLOOKUP(Table6[[#This Row],[name_2]],Table3[],2)</f>
        <v>H</v>
      </c>
      <c r="E31" s="2">
        <f t="shared" si="0"/>
        <v>180</v>
      </c>
    </row>
    <row r="32" spans="1:14" ht="15" x14ac:dyDescent="0.25">
      <c r="A32" s="1">
        <v>10104</v>
      </c>
      <c r="B32" s="12">
        <v>10106</v>
      </c>
      <c r="C32" s="55" t="str">
        <f>VLOOKUP(Table6[[#This Row],[name_1]],Table3[],2)</f>
        <v>C</v>
      </c>
      <c r="D32" s="55" t="str">
        <f>VLOOKUP(Table6[[#This Row],[name_2]],Table3[],2)</f>
        <v>D</v>
      </c>
      <c r="E32" s="2">
        <f t="shared" si="0"/>
        <v>60</v>
      </c>
    </row>
    <row r="33" spans="1:5" ht="15" x14ac:dyDescent="0.25">
      <c r="A33" s="1">
        <v>10110</v>
      </c>
      <c r="B33" s="12">
        <v>10112</v>
      </c>
      <c r="C33" s="55" t="str">
        <f>VLOOKUP(Table6[[#This Row],[name_1]],Table3[],2)</f>
        <v>F</v>
      </c>
      <c r="D33" s="55" t="str">
        <f>VLOOKUP(Table6[[#This Row],[name_2]],Table3[],2)</f>
        <v>G</v>
      </c>
      <c r="E33" s="2">
        <f t="shared" si="0"/>
        <v>115</v>
      </c>
    </row>
    <row r="34" spans="1:5" ht="15" x14ac:dyDescent="0.25">
      <c r="A34" s="1">
        <v>10100</v>
      </c>
      <c r="B34" s="12">
        <v>10114</v>
      </c>
      <c r="C34" s="55" t="str">
        <f>VLOOKUP(Table6[[#This Row],[name_1]],Table3[],2)</f>
        <v>A</v>
      </c>
      <c r="D34" s="55" t="str">
        <f>VLOOKUP(Table6[[#This Row],[name_2]],Table3[],2)</f>
        <v>H</v>
      </c>
      <c r="E34" s="2">
        <f t="shared" si="0"/>
        <v>480</v>
      </c>
    </row>
    <row r="35" spans="1:5" ht="15" x14ac:dyDescent="0.25">
      <c r="A35" s="10">
        <v>10112</v>
      </c>
      <c r="B35" s="13">
        <v>10116</v>
      </c>
      <c r="C35" s="55" t="str">
        <f>VLOOKUP(Table6[[#This Row],[name_1]],Table3[],2)</f>
        <v>G</v>
      </c>
      <c r="D35" s="55" t="str">
        <f>VLOOKUP(Table6[[#This Row],[name_2]],Table3[],2)</f>
        <v>I</v>
      </c>
      <c r="E35" s="2">
        <f t="shared" si="0"/>
        <v>105</v>
      </c>
    </row>
  </sheetData>
  <mergeCells count="1">
    <mergeCell ref="C5:K6"/>
  </mergeCells>
  <phoneticPr fontId="18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51D9D-04BE-4E80-9B13-7D4E176636A2}">
  <dimension ref="A1:J10"/>
  <sheetViews>
    <sheetView workbookViewId="0"/>
  </sheetViews>
  <sheetFormatPr defaultRowHeight="12.75" x14ac:dyDescent="0.2"/>
  <cols>
    <col min="1" max="1" width="9" bestFit="1" customWidth="1"/>
    <col min="2" max="5" width="5.33203125" bestFit="1" customWidth="1"/>
    <col min="6" max="7" width="5" bestFit="1" customWidth="1"/>
    <col min="8" max="9" width="5.33203125" bestFit="1" customWidth="1"/>
    <col min="10" max="10" width="4.5" bestFit="1" customWidth="1"/>
  </cols>
  <sheetData>
    <row r="1" spans="1:10" x14ac:dyDescent="0.2">
      <c r="A1" t="s">
        <v>99</v>
      </c>
      <c r="B1" t="s">
        <v>89</v>
      </c>
      <c r="C1" t="s">
        <v>90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</row>
    <row r="2" spans="1:10" x14ac:dyDescent="0.2">
      <c r="A2" t="s">
        <v>89</v>
      </c>
      <c r="B2">
        <v>-1</v>
      </c>
      <c r="C2">
        <v>95</v>
      </c>
      <c r="D2">
        <v>-1</v>
      </c>
      <c r="E2">
        <v>185</v>
      </c>
      <c r="F2">
        <v>255</v>
      </c>
      <c r="G2">
        <v>305</v>
      </c>
      <c r="H2">
        <v>415</v>
      </c>
      <c r="I2">
        <v>480</v>
      </c>
      <c r="J2">
        <v>525</v>
      </c>
    </row>
    <row r="3" spans="1:10" x14ac:dyDescent="0.2">
      <c r="A3" t="s">
        <v>90</v>
      </c>
      <c r="B3">
        <v>95</v>
      </c>
      <c r="C3">
        <v>-1</v>
      </c>
      <c r="D3">
        <v>-1</v>
      </c>
      <c r="E3">
        <v>90</v>
      </c>
      <c r="F3">
        <v>160</v>
      </c>
      <c r="G3">
        <v>210</v>
      </c>
      <c r="H3">
        <v>325</v>
      </c>
      <c r="I3">
        <v>390</v>
      </c>
      <c r="J3">
        <v>430</v>
      </c>
    </row>
    <row r="4" spans="1:10" x14ac:dyDescent="0.2">
      <c r="A4" t="s">
        <v>91</v>
      </c>
      <c r="B4">
        <v>-1</v>
      </c>
      <c r="C4">
        <v>-1</v>
      </c>
      <c r="D4">
        <v>-1</v>
      </c>
      <c r="E4">
        <v>60</v>
      </c>
      <c r="F4">
        <v>130</v>
      </c>
      <c r="G4">
        <v>180</v>
      </c>
      <c r="H4">
        <v>295</v>
      </c>
      <c r="I4">
        <v>355</v>
      </c>
      <c r="J4">
        <v>400</v>
      </c>
    </row>
    <row r="5" spans="1:10" x14ac:dyDescent="0.2">
      <c r="A5" t="s">
        <v>92</v>
      </c>
      <c r="B5">
        <v>185</v>
      </c>
      <c r="C5">
        <v>90</v>
      </c>
      <c r="D5">
        <v>60</v>
      </c>
      <c r="E5">
        <v>-1</v>
      </c>
      <c r="F5">
        <v>70</v>
      </c>
      <c r="G5">
        <v>120</v>
      </c>
      <c r="H5">
        <v>235</v>
      </c>
      <c r="I5">
        <v>300</v>
      </c>
      <c r="J5">
        <v>340</v>
      </c>
    </row>
    <row r="6" spans="1:10" x14ac:dyDescent="0.2">
      <c r="A6" t="s">
        <v>93</v>
      </c>
      <c r="B6">
        <v>255</v>
      </c>
      <c r="C6">
        <v>160</v>
      </c>
      <c r="D6">
        <v>130</v>
      </c>
      <c r="E6">
        <v>70</v>
      </c>
      <c r="F6">
        <v>-1</v>
      </c>
      <c r="G6">
        <v>50</v>
      </c>
      <c r="H6">
        <v>165</v>
      </c>
      <c r="I6">
        <v>230</v>
      </c>
      <c r="J6">
        <v>270</v>
      </c>
    </row>
    <row r="7" spans="1:10" x14ac:dyDescent="0.2">
      <c r="A7" t="s">
        <v>94</v>
      </c>
      <c r="B7">
        <v>305</v>
      </c>
      <c r="C7">
        <v>210</v>
      </c>
      <c r="D7">
        <v>180</v>
      </c>
      <c r="E7">
        <v>120</v>
      </c>
      <c r="F7">
        <v>50</v>
      </c>
      <c r="G7">
        <v>-1</v>
      </c>
      <c r="H7">
        <v>115</v>
      </c>
      <c r="I7">
        <v>180</v>
      </c>
      <c r="J7">
        <v>220</v>
      </c>
    </row>
    <row r="8" spans="1:10" x14ac:dyDescent="0.2">
      <c r="A8" t="s">
        <v>95</v>
      </c>
      <c r="B8">
        <v>415</v>
      </c>
      <c r="C8">
        <v>325</v>
      </c>
      <c r="D8">
        <v>295</v>
      </c>
      <c r="E8">
        <v>235</v>
      </c>
      <c r="F8">
        <v>165</v>
      </c>
      <c r="G8">
        <v>115</v>
      </c>
      <c r="H8">
        <v>-1</v>
      </c>
      <c r="I8">
        <v>65</v>
      </c>
      <c r="J8">
        <v>105</v>
      </c>
    </row>
    <row r="9" spans="1:10" x14ac:dyDescent="0.2">
      <c r="A9" t="s">
        <v>96</v>
      </c>
      <c r="B9">
        <v>480</v>
      </c>
      <c r="C9">
        <v>390</v>
      </c>
      <c r="D9">
        <v>355</v>
      </c>
      <c r="E9">
        <v>300</v>
      </c>
      <c r="F9">
        <v>230</v>
      </c>
      <c r="G9">
        <v>180</v>
      </c>
      <c r="H9">
        <v>65</v>
      </c>
      <c r="I9">
        <v>-1</v>
      </c>
      <c r="J9">
        <v>40</v>
      </c>
    </row>
    <row r="10" spans="1:10" x14ac:dyDescent="0.2">
      <c r="A10" t="s">
        <v>97</v>
      </c>
      <c r="B10">
        <v>525</v>
      </c>
      <c r="C10">
        <v>430</v>
      </c>
      <c r="D10">
        <v>400</v>
      </c>
      <c r="E10">
        <v>340</v>
      </c>
      <c r="F10">
        <v>270</v>
      </c>
      <c r="G10">
        <v>220</v>
      </c>
      <c r="H10">
        <v>105</v>
      </c>
      <c r="I10">
        <v>40</v>
      </c>
      <c r="J10">
        <v>-1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553D6-8838-4E30-BE61-28062FC4A61F}">
  <dimension ref="A1:J10"/>
  <sheetViews>
    <sheetView workbookViewId="0">
      <selection sqref="A1:J10"/>
    </sheetView>
  </sheetViews>
  <sheetFormatPr defaultRowHeight="12.75" x14ac:dyDescent="0.2"/>
  <cols>
    <col min="1" max="1" width="9" bestFit="1" customWidth="1"/>
    <col min="2" max="5" width="5.33203125" bestFit="1" customWidth="1"/>
    <col min="6" max="7" width="5" bestFit="1" customWidth="1"/>
    <col min="8" max="9" width="5.33203125" bestFit="1" customWidth="1"/>
    <col min="10" max="10" width="4.5" bestFit="1" customWidth="1"/>
  </cols>
  <sheetData>
    <row r="1" spans="1:10" x14ac:dyDescent="0.2">
      <c r="A1" t="s">
        <v>99</v>
      </c>
      <c r="B1" t="s">
        <v>89</v>
      </c>
      <c r="C1" t="s">
        <v>90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</row>
    <row r="2" spans="1:10" x14ac:dyDescent="0.2">
      <c r="A2" t="s">
        <v>89</v>
      </c>
      <c r="B2">
        <v>-1</v>
      </c>
      <c r="C2">
        <v>95</v>
      </c>
      <c r="D2">
        <v>-1</v>
      </c>
      <c r="E2">
        <v>185</v>
      </c>
      <c r="F2">
        <v>255</v>
      </c>
      <c r="G2">
        <v>305</v>
      </c>
      <c r="H2">
        <v>415</v>
      </c>
      <c r="I2">
        <v>480</v>
      </c>
      <c r="J2">
        <v>525</v>
      </c>
    </row>
    <row r="3" spans="1:10" x14ac:dyDescent="0.2">
      <c r="A3" t="s">
        <v>90</v>
      </c>
      <c r="B3">
        <v>95</v>
      </c>
      <c r="C3">
        <v>-1</v>
      </c>
      <c r="D3">
        <v>-1</v>
      </c>
      <c r="E3">
        <v>90</v>
      </c>
      <c r="F3">
        <v>160</v>
      </c>
      <c r="G3">
        <v>210</v>
      </c>
      <c r="H3">
        <v>325</v>
      </c>
      <c r="I3">
        <v>390</v>
      </c>
      <c r="J3">
        <v>430</v>
      </c>
    </row>
    <row r="4" spans="1:10" x14ac:dyDescent="0.2">
      <c r="A4" t="s">
        <v>91</v>
      </c>
      <c r="B4">
        <v>-1</v>
      </c>
      <c r="C4">
        <v>-1</v>
      </c>
      <c r="D4">
        <v>-1</v>
      </c>
      <c r="E4">
        <v>60</v>
      </c>
      <c r="F4">
        <v>130</v>
      </c>
      <c r="G4">
        <v>180</v>
      </c>
      <c r="H4">
        <v>295</v>
      </c>
      <c r="I4">
        <v>355</v>
      </c>
      <c r="J4">
        <v>400</v>
      </c>
    </row>
    <row r="5" spans="1:10" x14ac:dyDescent="0.2">
      <c r="A5" t="s">
        <v>92</v>
      </c>
      <c r="B5">
        <v>185</v>
      </c>
      <c r="C5">
        <v>90</v>
      </c>
      <c r="D5">
        <v>60</v>
      </c>
      <c r="E5">
        <v>-1</v>
      </c>
      <c r="F5">
        <v>70</v>
      </c>
      <c r="G5">
        <v>120</v>
      </c>
      <c r="H5">
        <v>235</v>
      </c>
      <c r="I5">
        <v>300</v>
      </c>
      <c r="J5">
        <v>340</v>
      </c>
    </row>
    <row r="6" spans="1:10" x14ac:dyDescent="0.2">
      <c r="A6" t="s">
        <v>93</v>
      </c>
      <c r="B6">
        <v>255</v>
      </c>
      <c r="C6">
        <v>160</v>
      </c>
      <c r="D6">
        <v>130</v>
      </c>
      <c r="E6">
        <v>70</v>
      </c>
      <c r="F6">
        <v>-1</v>
      </c>
      <c r="G6">
        <v>50</v>
      </c>
      <c r="H6">
        <v>165</v>
      </c>
      <c r="I6">
        <v>230</v>
      </c>
      <c r="J6">
        <v>270</v>
      </c>
    </row>
    <row r="7" spans="1:10" x14ac:dyDescent="0.2">
      <c r="A7" t="s">
        <v>94</v>
      </c>
      <c r="B7">
        <v>305</v>
      </c>
      <c r="C7">
        <v>210</v>
      </c>
      <c r="D7">
        <v>180</v>
      </c>
      <c r="E7">
        <v>120</v>
      </c>
      <c r="F7">
        <v>50</v>
      </c>
      <c r="G7">
        <v>-1</v>
      </c>
      <c r="H7">
        <v>115</v>
      </c>
      <c r="I7">
        <v>180</v>
      </c>
      <c r="J7">
        <v>220</v>
      </c>
    </row>
    <row r="8" spans="1:10" x14ac:dyDescent="0.2">
      <c r="A8" t="s">
        <v>95</v>
      </c>
      <c r="B8">
        <v>415</v>
      </c>
      <c r="C8">
        <v>325</v>
      </c>
      <c r="D8">
        <v>295</v>
      </c>
      <c r="E8">
        <v>235</v>
      </c>
      <c r="F8">
        <v>165</v>
      </c>
      <c r="G8">
        <v>115</v>
      </c>
      <c r="H8">
        <v>-1</v>
      </c>
      <c r="I8">
        <v>65</v>
      </c>
      <c r="J8">
        <v>105</v>
      </c>
    </row>
    <row r="9" spans="1:10" x14ac:dyDescent="0.2">
      <c r="A9" t="s">
        <v>96</v>
      </c>
      <c r="B9">
        <v>480</v>
      </c>
      <c r="C9">
        <v>390</v>
      </c>
      <c r="D9">
        <v>355</v>
      </c>
      <c r="E9">
        <v>300</v>
      </c>
      <c r="F9">
        <v>230</v>
      </c>
      <c r="G9">
        <v>180</v>
      </c>
      <c r="H9">
        <v>65</v>
      </c>
      <c r="I9">
        <v>-1</v>
      </c>
      <c r="J9">
        <v>40</v>
      </c>
    </row>
    <row r="10" spans="1:10" x14ac:dyDescent="0.2">
      <c r="A10" t="s">
        <v>97</v>
      </c>
      <c r="B10">
        <v>525</v>
      </c>
      <c r="C10">
        <v>430</v>
      </c>
      <c r="D10">
        <v>400</v>
      </c>
      <c r="E10">
        <v>340</v>
      </c>
      <c r="F10">
        <v>270</v>
      </c>
      <c r="G10">
        <v>220</v>
      </c>
      <c r="H10">
        <v>105</v>
      </c>
      <c r="I10">
        <v>40</v>
      </c>
      <c r="J10">
        <v>-1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28D85C-2C1C-4BCE-BFFB-4F85DC5647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Dataset</vt:lpstr>
      <vt:lpstr>Task_2</vt:lpstr>
      <vt:lpstr>Task_1</vt:lpstr>
      <vt:lpstr>Task_3</vt:lpstr>
      <vt:lpstr>Task_4</vt:lpstr>
      <vt:lpstr>Task_5</vt:lpstr>
      <vt:lpstr>Merge1</vt:lpstr>
      <vt:lpstr>Table1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Prabavathy Murugesan</cp:lastModifiedBy>
  <dcterms:created xsi:type="dcterms:W3CDTF">2015-02-10T17:33:11Z</dcterms:created>
  <dcterms:modified xsi:type="dcterms:W3CDTF">2023-12-11T17:59:32Z</dcterms:modified>
</cp:coreProperties>
</file>